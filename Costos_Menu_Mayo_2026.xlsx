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os Mayo 2026" sheetId="1" state="visible" r:id="rId1"/>
    <sheet name="Modo Feria y Comb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₡&quot;#,##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3D010C"/>
      <sz val="16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b val="1"/>
      <color rgb="00FFFFFF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3D010C"/>
        <bgColor rgb="003D010C"/>
      </patternFill>
    </fill>
    <fill>
      <patternFill patternType="solid">
        <fgColor rgb="005C0C1B"/>
        <bgColor rgb="005C0C1B"/>
      </patternFill>
    </fill>
    <fill>
      <patternFill patternType="solid">
        <fgColor rgb="00FDFBF7"/>
        <bgColor rgb="00FDFBF7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164" fontId="0" fillId="4" borderId="1" applyAlignment="1" pivotButton="0" quotePrefix="0" xfId="0">
      <alignment horizontal="right" vertical="center"/>
    </xf>
    <xf numFmtId="165" fontId="0" fillId="4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right" vertical="center"/>
    </xf>
    <xf numFmtId="165" fontId="0" fillId="0" borderId="1" applyAlignment="1" pivotButton="0" quotePrefix="0" xfId="0">
      <alignment horizontal="right" vertical="center"/>
    </xf>
    <xf numFmtId="0" fontId="5" fillId="0" borderId="0" applyAlignment="1" pivotButton="0" quotePrefix="0" xfId="0">
      <alignment horizontal="right"/>
    </xf>
    <xf numFmtId="164" fontId="5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34" customWidth="1" min="3" max="3"/>
    <col width="20" customWidth="1" min="4" max="4"/>
    <col width="20" customWidth="1" min="5" max="5"/>
    <col width="18" customWidth="1" min="6" max="6"/>
    <col width="16" customWidth="1" min="7" max="7"/>
    <col width="16" customWidth="1" min="8" max="8"/>
    <col width="45" customWidth="1" min="9" max="9"/>
  </cols>
  <sheetData>
    <row r="1">
      <c r="A1" s="1" t="inlineStr">
        <is>
          <t>SR. &amp; SRA. PINTO — ESCANDALLO Y COSTOS HISTÓRICOS (MAYO 2026)</t>
        </is>
      </c>
    </row>
    <row r="2">
      <c r="A2" s="2" t="inlineStr">
        <is>
          <t>Base de costos de producción y precios de venta originales calculados en mayo para fijación de precios y rentabilidad.</t>
        </is>
      </c>
    </row>
    <row r="3"/>
    <row r="4" ht="28" customHeight="1">
      <c r="A4" s="3" t="inlineStr">
        <is>
          <t>Categoría</t>
        </is>
      </c>
      <c r="B4" s="3" t="inlineStr">
        <is>
          <t>ID Sistema</t>
        </is>
      </c>
      <c r="C4" s="3" t="inlineStr">
        <is>
          <t>Nombre del Producto</t>
        </is>
      </c>
      <c r="D4" s="3" t="inlineStr">
        <is>
          <t>Precio Venta Original (₡)</t>
        </is>
      </c>
      <c r="E4" s="3" t="inlineStr">
        <is>
          <t>Costo de Producción (₡)</t>
        </is>
      </c>
      <c r="F4" s="3" t="inlineStr">
        <is>
          <t>Margen Bruto (₡)</t>
        </is>
      </c>
      <c r="G4" s="3" t="inlineStr">
        <is>
          <t>Margen Bruto (%)</t>
        </is>
      </c>
      <c r="H4" s="3" t="inlineStr">
        <is>
          <t>Food Cost (%)</t>
        </is>
      </c>
      <c r="I4" s="3" t="inlineStr">
        <is>
          <t>Ingredientes y Componentes Principales</t>
        </is>
      </c>
    </row>
    <row r="5" ht="22" customHeight="1">
      <c r="A5" s="4" t="inlineStr">
        <is>
          <t xml:space="preserve">  CATEGORÍA: PINTOS</t>
        </is>
      </c>
    </row>
    <row r="6" ht="20" customHeight="1">
      <c r="A6" s="5" t="inlineStr">
        <is>
          <t>Pintos</t>
        </is>
      </c>
      <c r="B6" s="5" t="inlineStr">
        <is>
          <t>p-senor-pinto</t>
        </is>
      </c>
      <c r="C6" s="6" t="inlineStr">
        <is>
          <t>Señor Pinto</t>
        </is>
      </c>
      <c r="D6" s="7" t="n">
        <v>3500</v>
      </c>
      <c r="E6" s="7" t="n">
        <v>1200</v>
      </c>
      <c r="F6" s="7">
        <f>D6-E6</f>
        <v/>
      </c>
      <c r="G6" s="8">
        <f>F6/D6</f>
        <v/>
      </c>
      <c r="H6" s="8">
        <f>E6/D6</f>
        <v/>
      </c>
      <c r="I6" s="6" t="inlineStr">
        <is>
          <t>Gallo pinto tradicional, queso frito, huevo y maduros</t>
        </is>
      </c>
    </row>
    <row r="7" ht="20" customHeight="1">
      <c r="A7" s="9" t="inlineStr">
        <is>
          <t>Pintos</t>
        </is>
      </c>
      <c r="B7" s="9" t="inlineStr">
        <is>
          <t>c-senor-pinto-cafe</t>
        </is>
      </c>
      <c r="C7" s="10" t="inlineStr">
        <is>
          <t>Combo: Señor Pinto + Café</t>
        </is>
      </c>
      <c r="D7" s="11" t="n">
        <v>4000</v>
      </c>
      <c r="E7" s="11" t="n">
        <v>1450</v>
      </c>
      <c r="F7" s="11">
        <f>D7-E7</f>
        <v/>
      </c>
      <c r="G7" s="12">
        <f>F7/D7</f>
        <v/>
      </c>
      <c r="H7" s="12">
        <f>E7/D7</f>
        <v/>
      </c>
      <c r="I7" s="10" t="inlineStr">
        <is>
          <t>Señor Pinto + Café Premium Grande</t>
        </is>
      </c>
    </row>
    <row r="8" ht="20" customHeight="1">
      <c r="A8" s="5" t="inlineStr">
        <is>
          <t>Pintos</t>
        </is>
      </c>
      <c r="B8" s="5" t="inlineStr">
        <is>
          <t>p-burrote</t>
        </is>
      </c>
      <c r="C8" s="6" t="inlineStr">
        <is>
          <t>Burrote de Pinto</t>
        </is>
      </c>
      <c r="D8" s="7" t="n">
        <v>3000</v>
      </c>
      <c r="E8" s="7" t="n">
        <v>1000</v>
      </c>
      <c r="F8" s="7">
        <f>D8-E8</f>
        <v/>
      </c>
      <c r="G8" s="8">
        <f>F8/D8</f>
        <v/>
      </c>
      <c r="H8" s="8">
        <f>E8/D8</f>
        <v/>
      </c>
      <c r="I8" s="6" t="inlineStr">
        <is>
          <t>Gallo pinto, queso, huevo, natilla en tortilla de harina</t>
        </is>
      </c>
    </row>
    <row r="9" ht="20" customHeight="1">
      <c r="A9" s="9" t="inlineStr">
        <is>
          <t>Pintos</t>
        </is>
      </c>
      <c r="B9" s="9" t="inlineStr">
        <is>
          <t>c-burrote-cafe</t>
        </is>
      </c>
      <c r="C9" s="10" t="inlineStr">
        <is>
          <t>Combo: Burrote de Pinto + Café</t>
        </is>
      </c>
      <c r="D9" s="11" t="n">
        <v>3500</v>
      </c>
      <c r="E9" s="11" t="n">
        <v>1250</v>
      </c>
      <c r="F9" s="11">
        <f>D9-E9</f>
        <v/>
      </c>
      <c r="G9" s="12">
        <f>F9/D9</f>
        <v/>
      </c>
      <c r="H9" s="12">
        <f>E9/D9</f>
        <v/>
      </c>
      <c r="I9" s="10" t="inlineStr">
        <is>
          <t>Burrote de Pinto + Café Premium Grande</t>
        </is>
      </c>
    </row>
    <row r="10" ht="20" customHeight="1">
      <c r="A10" s="5" t="inlineStr">
        <is>
          <t>Pintos</t>
        </is>
      </c>
      <c r="B10" s="5" t="inlineStr">
        <is>
          <t>p-empanada-pinto</t>
        </is>
      </c>
      <c r="C10" s="6" t="inlineStr">
        <is>
          <t>Empanada de Pinto</t>
        </is>
      </c>
      <c r="D10" s="7" t="n">
        <v>2500</v>
      </c>
      <c r="E10" s="7" t="n">
        <v>750</v>
      </c>
      <c r="F10" s="7">
        <f>D10-E10</f>
        <v/>
      </c>
      <c r="G10" s="8">
        <f>F10/D10</f>
        <v/>
      </c>
      <c r="H10" s="8">
        <f>E10/D10</f>
        <v/>
      </c>
      <c r="I10" s="6" t="inlineStr">
        <is>
          <t>Empanada de maíz crujiente rellena de gallo pinto</t>
        </is>
      </c>
    </row>
    <row r="11" ht="20" customHeight="1">
      <c r="A11" s="9" t="inlineStr">
        <is>
          <t>Pintos</t>
        </is>
      </c>
      <c r="B11" s="9" t="inlineStr">
        <is>
          <t>p-sra-empanada-m1</t>
        </is>
      </c>
      <c r="C11" s="10" t="inlineStr">
        <is>
          <t>Sra. Empanada Arreglada (Pinto)</t>
        </is>
      </c>
      <c r="D11" s="11" t="n">
        <v>3500</v>
      </c>
      <c r="E11" s="11" t="n">
        <v>1100</v>
      </c>
      <c r="F11" s="11">
        <f>D11-E11</f>
        <v/>
      </c>
      <c r="G11" s="12">
        <f>F11/D11</f>
        <v/>
      </c>
      <c r="H11" s="12">
        <f>E11/D11</f>
        <v/>
      </c>
      <c r="I11" s="10" t="inlineStr">
        <is>
          <t>Empanada de pinto con ensalada, carne mechada y salsas</t>
        </is>
      </c>
    </row>
    <row r="12" ht="20" customHeight="1">
      <c r="A12" s="5" t="inlineStr">
        <is>
          <t>Pintos</t>
        </is>
      </c>
      <c r="B12" s="5" t="inlineStr">
        <is>
          <t>p-queso-pinto</t>
        </is>
      </c>
      <c r="C12" s="6" t="inlineStr">
        <is>
          <t>Queso Pinto</t>
        </is>
      </c>
      <c r="D12" s="7" t="n">
        <v>3500</v>
      </c>
      <c r="E12" s="7" t="n">
        <v>1100</v>
      </c>
      <c r="F12" s="7">
        <f>D12-E12</f>
        <v/>
      </c>
      <c r="G12" s="8">
        <f>F12/D12</f>
        <v/>
      </c>
      <c r="H12" s="8">
        <f>E12/D12</f>
        <v/>
      </c>
      <c r="I12" s="6" t="inlineStr">
        <is>
          <t>Gallo pinto con doble porción de queso frito</t>
        </is>
      </c>
    </row>
    <row r="13" ht="22" customHeight="1">
      <c r="A13" s="4" t="inlineStr">
        <is>
          <t xml:space="preserve">  CATEGORÍA: SNACKS &amp; ANTOJOS</t>
        </is>
      </c>
    </row>
    <row r="14" ht="20" customHeight="1">
      <c r="A14" s="5" t="inlineStr">
        <is>
          <t>Snacks &amp; Antojos</t>
        </is>
      </c>
      <c r="B14" s="5" t="inlineStr">
        <is>
          <t>p-sr-patacon</t>
        </is>
      </c>
      <c r="C14" s="6" t="inlineStr">
        <is>
          <t>Sr. Patacón</t>
        </is>
      </c>
      <c r="D14" s="7" t="n">
        <v>4000</v>
      </c>
      <c r="E14" s="7" t="n">
        <v>1300</v>
      </c>
      <c r="F14" s="7">
        <f>D14-E14</f>
        <v/>
      </c>
      <c r="G14" s="8">
        <f>F14/D14</f>
        <v/>
      </c>
      <c r="H14" s="8">
        <f>E14/D14</f>
        <v/>
      </c>
      <c r="I14" s="6" t="inlineStr">
        <is>
          <t>Patacones crujientes con frijoles molidos y queso</t>
        </is>
      </c>
    </row>
    <row r="15" ht="20" customHeight="1">
      <c r="A15" s="9" t="inlineStr">
        <is>
          <t>Snacks &amp; Antojos</t>
        </is>
      </c>
      <c r="B15" s="9" t="inlineStr">
        <is>
          <t>p-sra-quesadilla</t>
        </is>
      </c>
      <c r="C15" s="10" t="inlineStr">
        <is>
          <t>Sra. Quesadilla</t>
        </is>
      </c>
      <c r="D15" s="11" t="n">
        <v>4000</v>
      </c>
      <c r="E15" s="11" t="n">
        <v>1400</v>
      </c>
      <c r="F15" s="11">
        <f>D15-E15</f>
        <v/>
      </c>
      <c r="G15" s="12">
        <f>F15/D15</f>
        <v/>
      </c>
      <c r="H15" s="12">
        <f>E15/D15</f>
        <v/>
      </c>
      <c r="I15" s="10" t="inlineStr">
        <is>
          <t>Tortilla de harina con queso fundido y carne</t>
        </is>
      </c>
    </row>
    <row r="16" ht="20" customHeight="1">
      <c r="A16" s="5" t="inlineStr">
        <is>
          <t>Snacks &amp; Antojos</t>
        </is>
      </c>
      <c r="B16" s="5" t="inlineStr">
        <is>
          <t>p-sra-hamburguesa</t>
        </is>
      </c>
      <c r="C16" s="6" t="inlineStr">
        <is>
          <t>Sra. Hamburguesa con Papas</t>
        </is>
      </c>
      <c r="D16" s="7" t="n">
        <v>5000</v>
      </c>
      <c r="E16" s="7" t="n">
        <v>1900</v>
      </c>
      <c r="F16" s="7">
        <f>D16-E16</f>
        <v/>
      </c>
      <c r="G16" s="8">
        <f>F16/D16</f>
        <v/>
      </c>
      <c r="H16" s="8">
        <f>E16/D16</f>
        <v/>
      </c>
      <c r="I16" s="6" t="inlineStr">
        <is>
          <t>Hamburguesa casera con papas fritas crujientes</t>
        </is>
      </c>
    </row>
    <row r="17" ht="20" customHeight="1">
      <c r="A17" s="9" t="inlineStr">
        <is>
          <t>Snacks &amp; Antojos</t>
        </is>
      </c>
      <c r="B17" s="9" t="inlineStr">
        <is>
          <t>p-empanada-carne</t>
        </is>
      </c>
      <c r="C17" s="10" t="inlineStr">
        <is>
          <t>Empanada de Carne</t>
        </is>
      </c>
      <c r="D17" s="11" t="n">
        <v>2500</v>
      </c>
      <c r="E17" s="11" t="n">
        <v>800</v>
      </c>
      <c r="F17" s="11">
        <f>D17-E17</f>
        <v/>
      </c>
      <c r="G17" s="12">
        <f>F17/D17</f>
        <v/>
      </c>
      <c r="H17" s="12">
        <f>E17/D17</f>
        <v/>
      </c>
      <c r="I17" s="10" t="inlineStr">
        <is>
          <t>Empanada artesanal rellena de carne mechada</t>
        </is>
      </c>
    </row>
    <row r="18" ht="20" customHeight="1">
      <c r="A18" s="5" t="inlineStr">
        <is>
          <t>Snacks &amp; Antojos</t>
        </is>
      </c>
      <c r="B18" s="5" t="inlineStr">
        <is>
          <t>p-empanada-queso</t>
        </is>
      </c>
      <c r="C18" s="6" t="inlineStr">
        <is>
          <t>Empanada de Queso Mozzarella</t>
        </is>
      </c>
      <c r="D18" s="7" t="n">
        <v>2500</v>
      </c>
      <c r="E18" s="7" t="n">
        <v>750</v>
      </c>
      <c r="F18" s="7">
        <f>D18-E18</f>
        <v/>
      </c>
      <c r="G18" s="8">
        <f>F18/D18</f>
        <v/>
      </c>
      <c r="H18" s="8">
        <f>E18/D18</f>
        <v/>
      </c>
      <c r="I18" s="6" t="inlineStr">
        <is>
          <t>Empanada artesanal con queso mozzarella derretido</t>
        </is>
      </c>
    </row>
    <row r="19" ht="20" customHeight="1">
      <c r="A19" s="9" t="inlineStr">
        <is>
          <t>Snacks &amp; Antojos</t>
        </is>
      </c>
      <c r="B19" s="9" t="inlineStr">
        <is>
          <t>p-empanada-carne-queso</t>
        </is>
      </c>
      <c r="C19" s="10" t="inlineStr">
        <is>
          <t>Empanada de Carne y Queso</t>
        </is>
      </c>
      <c r="D19" s="11" t="n">
        <v>2500</v>
      </c>
      <c r="E19" s="11" t="n">
        <v>850</v>
      </c>
      <c r="F19" s="11">
        <f>D19-E19</f>
        <v/>
      </c>
      <c r="G19" s="12">
        <f>F19/D19</f>
        <v/>
      </c>
      <c r="H19" s="12">
        <f>E19/D19</f>
        <v/>
      </c>
      <c r="I19" s="10" t="inlineStr">
        <is>
          <t>Empanada mixta con carne mechada y mozzarella</t>
        </is>
      </c>
    </row>
    <row r="20" ht="20" customHeight="1">
      <c r="A20" s="5" t="inlineStr">
        <is>
          <t>Snacks &amp; Antojos</t>
        </is>
      </c>
      <c r="B20" s="5" t="inlineStr">
        <is>
          <t>p-empanada-birria</t>
        </is>
      </c>
      <c r="C20" s="6" t="inlineStr">
        <is>
          <t>Empanada de Birria</t>
        </is>
      </c>
      <c r="D20" s="7" t="n">
        <v>2500</v>
      </c>
      <c r="E20" s="7" t="n">
        <v>900</v>
      </c>
      <c r="F20" s="7">
        <f>D20-E20</f>
        <v/>
      </c>
      <c r="G20" s="8">
        <f>F20/D20</f>
        <v/>
      </c>
      <c r="H20" s="8">
        <f>E20/D20</f>
        <v/>
      </c>
      <c r="I20" s="6" t="inlineStr">
        <is>
          <t>Empanada artesanal rellena de birria de res</t>
        </is>
      </c>
    </row>
    <row r="21" ht="20" customHeight="1">
      <c r="A21" s="9" t="inlineStr">
        <is>
          <t>Snacks &amp; Antojos</t>
        </is>
      </c>
      <c r="B21" s="9" t="inlineStr">
        <is>
          <t>p-sra-empanada-m2</t>
        </is>
      </c>
      <c r="C21" s="10" t="inlineStr">
        <is>
          <t>Sra. Empanada Arreglada (Snack)</t>
        </is>
      </c>
      <c r="D21" s="11" t="n">
        <v>3500</v>
      </c>
      <c r="E21" s="11" t="n">
        <v>1050</v>
      </c>
      <c r="F21" s="11">
        <f>D21-E21</f>
        <v/>
      </c>
      <c r="G21" s="12">
        <f>F21/D21</f>
        <v/>
      </c>
      <c r="H21" s="12">
        <f>E21/D21</f>
        <v/>
      </c>
      <c r="I21" s="10" t="inlineStr">
        <is>
          <t>Empanada crujiente con repollo arreglado y salsas</t>
        </is>
      </c>
    </row>
    <row r="22" ht="20" customHeight="1">
      <c r="A22" s="5" t="inlineStr">
        <is>
          <t>Snacks &amp; Antojos</t>
        </is>
      </c>
      <c r="B22" s="5" t="inlineStr">
        <is>
          <t>c-empanada-cafe</t>
        </is>
      </c>
      <c r="C22" s="6" t="inlineStr">
        <is>
          <t>Combo: Empanada + Café</t>
        </is>
      </c>
      <c r="D22" s="7" t="n">
        <v>3000</v>
      </c>
      <c r="E22" s="7" t="n">
        <v>1100</v>
      </c>
      <c r="F22" s="7">
        <f>D22-E22</f>
        <v/>
      </c>
      <c r="G22" s="8">
        <f>F22/D22</f>
        <v/>
      </c>
      <c r="H22" s="8">
        <f>E22/D22</f>
        <v/>
      </c>
      <c r="I22" s="6" t="inlineStr">
        <is>
          <t>Empanada artesanal a elegir + Café Premium</t>
        </is>
      </c>
    </row>
    <row r="23" ht="20" customHeight="1">
      <c r="A23" s="9" t="inlineStr">
        <is>
          <t>Snacks &amp; Antojos</t>
        </is>
      </c>
      <c r="B23" s="9" t="inlineStr">
        <is>
          <t>p-cono-salchipapa</t>
        </is>
      </c>
      <c r="C23" s="10" t="inlineStr">
        <is>
          <t>Sr. Cono de SalchiPapas</t>
        </is>
      </c>
      <c r="D23" s="11" t="n">
        <v>3000</v>
      </c>
      <c r="E23" s="11" t="n">
        <v>950</v>
      </c>
      <c r="F23" s="11">
        <f>D23-E23</f>
        <v/>
      </c>
      <c r="G23" s="12">
        <f>F23/D23</f>
        <v/>
      </c>
      <c r="H23" s="12">
        <f>E23/D23</f>
        <v/>
      </c>
      <c r="I23" s="10" t="inlineStr">
        <is>
          <t>Papas fritas en cono con salchicha y aderezos</t>
        </is>
      </c>
    </row>
    <row r="24" ht="20" customHeight="1">
      <c r="A24" s="5" t="inlineStr">
        <is>
          <t>Snacks &amp; Antojos</t>
        </is>
      </c>
      <c r="B24" s="5" t="inlineStr">
        <is>
          <t>p-sr-papi-carne</t>
        </is>
      </c>
      <c r="C24" s="6" t="inlineStr">
        <is>
          <t>Sr. Papi Carne</t>
        </is>
      </c>
      <c r="D24" s="7" t="n">
        <v>3500</v>
      </c>
      <c r="E24" s="7" t="n">
        <v>1200</v>
      </c>
      <c r="F24" s="7">
        <f>D24-E24</f>
        <v/>
      </c>
      <c r="G24" s="8">
        <f>F24/D24</f>
        <v/>
      </c>
      <c r="H24" s="8">
        <f>E24/D24</f>
        <v/>
      </c>
      <c r="I24" s="6" t="inlineStr">
        <is>
          <t>Papas fritas crujientes con porción de carne mechada</t>
        </is>
      </c>
    </row>
    <row r="25" ht="22" customHeight="1">
      <c r="A25" s="4" t="inlineStr">
        <is>
          <t xml:space="preserve">  CATEGORÍA: BEBIDAS</t>
        </is>
      </c>
    </row>
    <row r="26" ht="20" customHeight="1">
      <c r="A26" s="5" t="inlineStr">
        <is>
          <t>Bebidas</t>
        </is>
      </c>
      <c r="B26" s="5" t="inlineStr">
        <is>
          <t>b-cafe-premium</t>
        </is>
      </c>
      <c r="C26" s="6" t="inlineStr">
        <is>
          <t>Café Premium Grande (12 oz)</t>
        </is>
      </c>
      <c r="D26" s="7" t="n">
        <v>1000</v>
      </c>
      <c r="E26" s="7" t="n">
        <v>300</v>
      </c>
      <c r="F26" s="7">
        <f>D26-E26</f>
        <v/>
      </c>
      <c r="G26" s="8">
        <f>F26/D26</f>
        <v/>
      </c>
      <c r="H26" s="8">
        <f>E26/D26</f>
        <v/>
      </c>
      <c r="I26" s="6" t="inlineStr">
        <is>
          <t>Café costarricense premium de 12 oz con vaso y tapa</t>
        </is>
      </c>
    </row>
    <row r="27" ht="20" customHeight="1">
      <c r="A27" s="9" t="inlineStr">
        <is>
          <t>Bebidas</t>
        </is>
      </c>
      <c r="B27" s="9" t="inlineStr">
        <is>
          <t>b-agua</t>
        </is>
      </c>
      <c r="C27" s="10" t="inlineStr">
        <is>
          <t>Agua Embotellada (600 ml)</t>
        </is>
      </c>
      <c r="D27" s="11" t="n">
        <v>1000</v>
      </c>
      <c r="E27" s="11" t="n">
        <v>200</v>
      </c>
      <c r="F27" s="11">
        <f>D27-E27</f>
        <v/>
      </c>
      <c r="G27" s="12">
        <f>F27/D27</f>
        <v/>
      </c>
      <c r="H27" s="12">
        <f>E27/D27</f>
        <v/>
      </c>
      <c r="I27" s="10" t="inlineStr">
        <is>
          <t>Botella de agua purificada 600 ml</t>
        </is>
      </c>
    </row>
    <row r="28" ht="20" customHeight="1">
      <c r="A28" s="5" t="inlineStr">
        <is>
          <t>Bebidas</t>
        </is>
      </c>
      <c r="B28" s="5" t="inlineStr">
        <is>
          <t>b-gaseosas</t>
        </is>
      </c>
      <c r="C28" s="6" t="inlineStr">
        <is>
          <t>Gaseosas (600 ml)</t>
        </is>
      </c>
      <c r="D28" s="7" t="n">
        <v>1200</v>
      </c>
      <c r="E28" s="7" t="n">
        <v>450</v>
      </c>
      <c r="F28" s="7">
        <f>D28-E28</f>
        <v/>
      </c>
      <c r="G28" s="8">
        <f>F28/D28</f>
        <v/>
      </c>
      <c r="H28" s="8">
        <f>E28/D28</f>
        <v/>
      </c>
      <c r="I28" s="6" t="inlineStr">
        <is>
          <t>Botella de refresco gaseoso surtido 600 ml</t>
        </is>
      </c>
    </row>
    <row r="29" ht="20" customHeight="1">
      <c r="A29" s="9" t="inlineStr">
        <is>
          <t>Bebidas</t>
        </is>
      </c>
      <c r="B29" s="9" t="inlineStr">
        <is>
          <t>b-hidratante</t>
        </is>
      </c>
      <c r="C29" s="10" t="inlineStr">
        <is>
          <t>Bebidas Hidratantes (Powerade)</t>
        </is>
      </c>
      <c r="D29" s="11" t="n">
        <v>1300</v>
      </c>
      <c r="E29" s="11" t="n">
        <v>500</v>
      </c>
      <c r="F29" s="11">
        <f>D29-E29</f>
        <v/>
      </c>
      <c r="G29" s="12">
        <f>F29/D29</f>
        <v/>
      </c>
      <c r="H29" s="12">
        <f>E29/D29</f>
        <v/>
      </c>
      <c r="I29" s="10" t="inlineStr">
        <is>
          <t>Bebida isotónica hidratante botella 600 ml</t>
        </is>
      </c>
    </row>
    <row r="30">
      <c r="C30" s="13" t="inlineStr">
        <is>
          <t>PROMEDIOS GENERALES:</t>
        </is>
      </c>
      <c r="D30" s="14">
        <f>AVERAGE(D5:D29)</f>
        <v/>
      </c>
      <c r="E30" s="14">
        <f>AVERAGE(E5:E29)</f>
        <v/>
      </c>
      <c r="F30" s="14">
        <f>AVERAGE(F5:F29)</f>
        <v/>
      </c>
      <c r="G30" s="15">
        <f>F30/D30</f>
        <v/>
      </c>
      <c r="H30" s="15">
        <f>E30/D30</f>
        <v/>
      </c>
    </row>
  </sheetData>
  <mergeCells count="3">
    <mergeCell ref="A5:I5"/>
    <mergeCell ref="A25:I25"/>
    <mergeCell ref="A13:I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46" customWidth="1" min="3" max="3"/>
    <col width="29" customWidth="1" min="4" max="4"/>
    <col width="27" customWidth="1" min="5" max="5"/>
  </cols>
  <sheetData>
    <row r="1">
      <c r="A1" s="1" t="inlineStr">
        <is>
          <t>SR. &amp; SRA. PINTO — PRODUCTOS Y COMBOS INCORPORADOS (MODO FERIA)</t>
        </is>
      </c>
    </row>
    <row r="2">
      <c r="A2" s="2" t="inlineStr">
        <is>
          <t>Productos complementarios y combos estudiantiles añadidos posteriormente con sus costos respectivos.</t>
        </is>
      </c>
    </row>
    <row r="3"/>
    <row r="4">
      <c r="A4" s="16" t="inlineStr">
        <is>
          <t>Categoría</t>
        </is>
      </c>
      <c r="B4" s="16" t="inlineStr">
        <is>
          <t>ID Sistema</t>
        </is>
      </c>
      <c r="C4" s="16" t="inlineStr">
        <is>
          <t>Nombre del Producto</t>
        </is>
      </c>
      <c r="D4" s="16" t="inlineStr">
        <is>
          <t>Precio Venta Original (₡)</t>
        </is>
      </c>
      <c r="E4" s="16" t="inlineStr">
        <is>
          <t>Costo de Producción (₡)</t>
        </is>
      </c>
    </row>
    <row r="5">
      <c r="A5" s="17" t="inlineStr">
        <is>
          <t>Modo Feria</t>
        </is>
      </c>
      <c r="B5" s="17" t="inlineStr">
        <is>
          <t>p-patacon-caribeno</t>
        </is>
      </c>
      <c r="C5" s="17" t="inlineStr">
        <is>
          <t>Patacón Caribeño</t>
        </is>
      </c>
      <c r="D5" s="18" t="n">
        <v>4000</v>
      </c>
      <c r="E5" s="18" t="n">
        <v>1400</v>
      </c>
    </row>
    <row r="6">
      <c r="A6" s="17" t="inlineStr">
        <is>
          <t>Modo Feria</t>
        </is>
      </c>
      <c r="B6" s="17" t="inlineStr">
        <is>
          <t>c-queso-pinto-cafe</t>
        </is>
      </c>
      <c r="C6" s="17" t="inlineStr">
        <is>
          <t>Combo: Queso Pinto + Café</t>
        </is>
      </c>
      <c r="D6" s="18" t="n">
        <v>4000</v>
      </c>
      <c r="E6" s="18" t="n">
        <v>1300</v>
      </c>
    </row>
    <row r="7">
      <c r="A7" s="17" t="inlineStr">
        <is>
          <t>Modo Feria</t>
        </is>
      </c>
      <c r="B7" s="17" t="inlineStr">
        <is>
          <t>b-cafe-8oz</t>
        </is>
      </c>
      <c r="C7" s="17" t="inlineStr">
        <is>
          <t>Café Pequeño (8 onzas)</t>
        </is>
      </c>
      <c r="D7" s="18" t="n">
        <v>800</v>
      </c>
      <c r="E7" s="18" t="n">
        <v>250</v>
      </c>
    </row>
    <row r="8">
      <c r="A8" s="17" t="inlineStr">
        <is>
          <t>Combos Estudiantiles</t>
        </is>
      </c>
      <c r="B8" s="17" t="inlineStr">
        <is>
          <t>ce-empanada-fresco</t>
        </is>
      </c>
      <c r="C8" s="17" t="inlineStr">
        <is>
          <t>Combo Estudiantil: Empanada + Fresco</t>
        </is>
      </c>
      <c r="D8" s="18" t="n">
        <v>2000</v>
      </c>
      <c r="E8" s="18" t="n">
        <v>750</v>
      </c>
    </row>
    <row r="9">
      <c r="A9" s="17" t="inlineStr">
        <is>
          <t>Combos Estudiantiles</t>
        </is>
      </c>
      <c r="B9" s="17" t="inlineStr">
        <is>
          <t>ce-salchipapa-fresco</t>
        </is>
      </c>
      <c r="C9" s="17" t="inlineStr">
        <is>
          <t>Combo Estudiantil: Salchipapa + Fresco</t>
        </is>
      </c>
      <c r="D9" s="18" t="n">
        <v>2500</v>
      </c>
      <c r="E9" s="18" t="n">
        <v>1000</v>
      </c>
    </row>
    <row r="10">
      <c r="A10" s="17" t="inlineStr">
        <is>
          <t>Combos Estudiantiles</t>
        </is>
      </c>
      <c r="B10" s="17" t="inlineStr">
        <is>
          <t>ce-hamburguesa-jr-fresco</t>
        </is>
      </c>
      <c r="C10" s="17" t="inlineStr">
        <is>
          <t>Combo Estudiantil: Hamburguesa Jr + Fresco</t>
        </is>
      </c>
      <c r="D10" s="18" t="n">
        <v>3000</v>
      </c>
      <c r="E10" s="18" t="n">
        <v>1200</v>
      </c>
    </row>
    <row r="11">
      <c r="A11" s="17" t="inlineStr">
        <is>
          <t>Combos Estudiantiles</t>
        </is>
      </c>
      <c r="B11" s="17" t="inlineStr">
        <is>
          <t>ce-hotdog-fresco</t>
        </is>
      </c>
      <c r="C11" s="17" t="inlineStr">
        <is>
          <t>Combo Estudiantil: Hot Dog + Fresco</t>
        </is>
      </c>
      <c r="D11" s="18" t="n">
        <v>2500</v>
      </c>
      <c r="E11" s="18" t="n">
        <v>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2026-09-22T04:36:22Z</dcterms:created>
  <dcterms:modified xsi:type="dcterms:W3CDTF">2026-09-22T04:36:22Z</dcterms:modified>
</cp:coreProperties>
</file>